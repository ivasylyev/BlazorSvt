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bokaMV\Documents\Проекты\ИИ Автоматизация\"/>
    </mc:Choice>
  </mc:AlternateContent>
  <xr:revisionPtr revIDLastSave="0" documentId="8_{BFFFE996-3296-4528-9265-4DB7FE6E8B0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Реестр инициатив" sheetId="1" r:id="rId1"/>
    <sheet name="Инструкция и легенда" sheetId="2" r:id="rId2"/>
  </sheets>
  <definedNames>
    <definedName name="_xlnm._FilterDatabase" localSheetId="0" hidden="1">'Реестр инициатив'!$B$5:$R$43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5" i="1" l="1"/>
  <c r="J45" i="1"/>
  <c r="G45" i="1"/>
</calcChain>
</file>

<file path=xl/sharedStrings.xml><?xml version="1.0" encoding="utf-8"?>
<sst xmlns="http://schemas.openxmlformats.org/spreadsheetml/2006/main" count="230" uniqueCount="141">
  <si>
    <t>Реестр инициатив по автоматизации рутинных процессов — запрос оценки подрядчикам</t>
  </si>
  <si>
    <t>Столбцы I–R заполняет подрядчик. Столбцы B–H — исходные данные заказчика (AS IS).</t>
  </si>
  <si>
    <t>№</t>
  </si>
  <si>
    <t>Домен / блок</t>
  </si>
  <si>
    <t>Процесс</t>
  </si>
  <si>
    <t>Драйвер объёма</t>
  </si>
  <si>
    <t>Шаги процесса в скоупе</t>
  </si>
  <si>
    <t>AS IS, FTE</t>
  </si>
  <si>
    <t>Вид доработки (заказчик)</t>
  </si>
  <si>
    <t>Предлагаемое решение / архетип</t>
  </si>
  <si>
    <t>Целевая степень автоматизации, %</t>
  </si>
  <si>
    <t>Трудоёмкость, чел.-дни</t>
  </si>
  <si>
    <t>Стоимость, тыс. руб. без НДС</t>
  </si>
  <si>
    <t>Длительность, недель</t>
  </si>
  <si>
    <t>Требуемые данные, доступы, интеграции</t>
  </si>
  <si>
    <t>Ключевые допущения</t>
  </si>
  <si>
    <t>Риски и ограничения</t>
  </si>
  <si>
    <t>Вопросы к заказчику</t>
  </si>
  <si>
    <t>Приоритет / волна</t>
  </si>
  <si>
    <t>Документооборот и расчёты РФ</t>
  </si>
  <si>
    <t>Сопровождение ДД РФ</t>
  </si>
  <si>
    <t>кол-во ДД</t>
  </si>
  <si>
    <t>1. Создание нового к/а, подключение к ЭДО
2. Запуск ДД в SAP и КИС
3. Мониторинг подписания
4. Доработка карточки ДД</t>
  </si>
  <si>
    <t>ИИ</t>
  </si>
  <si>
    <t>Сопровождение ПБД РФ (приём и проверка)</t>
  </si>
  <si>
    <t>кол-во вх. УПД</t>
  </si>
  <si>
    <t>1. Получение УПД в ЭДО/ЛК от ТЭК
2. Проверка полноты комплекта
3. Сверка тарифа с ДС/Логинет
4. Согласование доп. расходов (если требуется)</t>
  </si>
  <si>
    <t>П / А / ИИ</t>
  </si>
  <si>
    <t>Сопровождение ПБД РФ (регистрация и подписание)</t>
  </si>
  <si>
    <t>5. Регистрация УПД в SAP при помощи реестра/вручную
6. Регистрация УПД по НХТК
7. Подписание и деблокирование</t>
  </si>
  <si>
    <t>А / ИИ</t>
  </si>
  <si>
    <t>Оплата и выравнивание</t>
  </si>
  <si>
    <t>1. Создание ЗнРДС и контроль оплаты
2. Выравнивание
3. Контроль открытого сальдо</t>
  </si>
  <si>
    <t>А</t>
  </si>
  <si>
    <t>Работа с оригиналами документов</t>
  </si>
  <si>
    <t>кол-во оригиналов ПБД</t>
  </si>
  <si>
    <t>1. Обработка вх. документации и мониторинг оригиналов
2. Архивация ТСД</t>
  </si>
  <si>
    <t>П</t>
  </si>
  <si>
    <t>Работа с актом сверки взаиморасчётов</t>
  </si>
  <si>
    <t>1. Выгрузка АСВ и направление в адрес к/а
2. Разбор расхождений</t>
  </si>
  <si>
    <t>не указан</t>
  </si>
  <si>
    <t>Работа с претензиями</t>
  </si>
  <si>
    <t>кол-во претензий</t>
  </si>
  <si>
    <t>1. Регистрация и оплата вх. претензий
2. Регистрация, проведение удержания/выравнивание исх. претензий</t>
  </si>
  <si>
    <t>1С БКП</t>
  </si>
  <si>
    <t>Сбор документов KPI</t>
  </si>
  <si>
    <t>кол-во документов в пакете</t>
  </si>
  <si>
    <t>1. Выгрузки данных для ДБ
2. Сбор документов KPI</t>
  </si>
  <si>
    <t>Документооборот БЕ SI</t>
  </si>
  <si>
    <t>Сопровождение ПБД по БЕ SI (приём и проверка)</t>
  </si>
  <si>
    <t>кол-во инвойсов</t>
  </si>
  <si>
    <t>1. Получение инвойса в ЛК/TRA от ТЭК
2. Проверка полноты комплекта
3. Сверка тарифа с ДС/Логинет
4. Согласование доп. расходов (если требуется)</t>
  </si>
  <si>
    <t>Сопровождение ПБД по БЕ SI (регистрация)</t>
  </si>
  <si>
    <t>5. Регистрация в SAP
6. Деблокирование</t>
  </si>
  <si>
    <t>Выравнивание по БЕ SI</t>
  </si>
  <si>
    <t>1. Выравнивание оплаты и документа
2. Контроль открытого сальдо</t>
  </si>
  <si>
    <t>Складской учёт SI</t>
  </si>
  <si>
    <t>Отражение движений по внешним складам SI — приём ТС</t>
  </si>
  <si>
    <t>кол-во поставок</t>
  </si>
  <si>
    <t>1. Приём в системе на соответствующий склад транспортных средств по реестру склада</t>
  </si>
  <si>
    <t>Отражение движений по внешним складам SI — списание с забаланса</t>
  </si>
  <si>
    <t>2. Списание продукции с забаланса, в т.ч. составление загрузчика</t>
  </si>
  <si>
    <t>Отражение движений по внешним складам SI — перенос между складами</t>
  </si>
  <si>
    <t>3. Перенос транспортных средств на корректный склад (перенос между складами, растаможка)</t>
  </si>
  <si>
    <t>Устранение расхождений в учёте SI — забалансовый учёт</t>
  </si>
  <si>
    <t>1. Устранение расхождений в забалансовом учёте</t>
  </si>
  <si>
    <t>Устранение расхождений в учёте SI — сверка по удалённым складам</t>
  </si>
  <si>
    <t>2. Устранение расхождений по ЕО в учёте на основании сверки отчётов по удалённым складам</t>
  </si>
  <si>
    <t>Проверка сроков хранения по складам в Китае</t>
  </si>
  <si>
    <t>кол-во складов</t>
  </si>
  <si>
    <t>Проверка сроков хранения</t>
  </si>
  <si>
    <t>Складской учёт РФ</t>
  </si>
  <si>
    <t>Отражение движений по внешним складам РФ — проверка реестров</t>
  </si>
  <si>
    <t>кол-во складов / вх., исх. поставок</t>
  </si>
  <si>
    <t>1. Проверка входящих реестров от складов</t>
  </si>
  <si>
    <t>Отражение движений по внешним складам РФ — поступления</t>
  </si>
  <si>
    <t>2. Отражение поступлений на склады</t>
  </si>
  <si>
    <t>Отражение движений по внешним складам РФ — отгрузки</t>
  </si>
  <si>
    <t>3. Отражение отгрузки с внешних складов</t>
  </si>
  <si>
    <t>Устранение расхождений партий в учёте СХ</t>
  </si>
  <si>
    <t>1. Анализ сверки ЕО и SAP
2. Выравнивание партий</t>
  </si>
  <si>
    <t>Ежемесячная сверка данных складов</t>
  </si>
  <si>
    <t>1. Сверка АПП и SAP
2. Проверка биллинга от складов</t>
  </si>
  <si>
    <t>Формирование реестра ППС</t>
  </si>
  <si>
    <t>кол-во запросов</t>
  </si>
  <si>
    <t>Формирование реестра ППС (ППС по Инкотермс)</t>
  </si>
  <si>
    <t>Прочее (пакет мелких операций)</t>
  </si>
  <si>
    <t>—</t>
  </si>
  <si>
    <t>Отправка ожидаемых поступлений на склады; сбор ТН по бесплатным образцам; создание ДФР; загрузка макроса по браку</t>
  </si>
  <si>
    <t>Отражение движений по тыловым терминалам РФ</t>
  </si>
  <si>
    <t>кол-во отгрузок с тыловых терминалов РФ</t>
  </si>
  <si>
    <t>1. Проведение поступлений
2. Проведение отгрузки</t>
  </si>
  <si>
    <t>П / ИИ</t>
  </si>
  <si>
    <t>Тендеры</t>
  </si>
  <si>
    <t>Анализ ЗП</t>
  </si>
  <si>
    <t>кол-во туров</t>
  </si>
  <si>
    <t>Проверка и анализ ЗП</t>
  </si>
  <si>
    <t>Загрузка данных в СВТ, TMS (номинации)</t>
  </si>
  <si>
    <t>кол-во строк в тендерах</t>
  </si>
  <si>
    <t>Проставление номинаций, загрузка в СВТ и TMS</t>
  </si>
  <si>
    <t>Подготовка отчётов</t>
  </si>
  <si>
    <t>Подготовка отчётов: Ставки ММ, Распределение, Ставки для продаж</t>
  </si>
  <si>
    <t>Загрузка данных в СВТ (ставки)</t>
  </si>
  <si>
    <t>кол-во строк в файле</t>
  </si>
  <si>
    <t>Подготовка и загрузка файлов со средневзвешенными, индикативными и фактическими ставками в СВТ</t>
  </si>
  <si>
    <t>Актуализация лид-таймов</t>
  </si>
  <si>
    <t>Выгрузка данных по паритетам</t>
  </si>
  <si>
    <t>Трекинг</t>
  </si>
  <si>
    <t>Трекинг авто — получение данных от логистов</t>
  </si>
  <si>
    <t>1. Получение данных от логистов и перенос в RL</t>
  </si>
  <si>
    <t>Трекинг авто — запросы в ТЭК</t>
  </si>
  <si>
    <t>2. Направление запросов в ТЭК для обновления инфо по авто перевозкам</t>
  </si>
  <si>
    <t>Трекинг авто — заполнение RL</t>
  </si>
  <si>
    <t>3. Заполнение RL и отправка на общий контур</t>
  </si>
  <si>
    <t>Трекинг ММ, ЖД — рассылка отчётов подрядчикам</t>
  </si>
  <si>
    <t>1. Выгрузка данных из TMS и рассылка отчётов на подрядчиков для обновления дат</t>
  </si>
  <si>
    <t>Трекинг ММ, ЖД — загрузка дат и статистика качества</t>
  </si>
  <si>
    <t>2. Загрузка полученных дат в TMS, сбор статистики качества</t>
  </si>
  <si>
    <t>Трекинг ММ, ЖД — загрузка файлов по ЖД</t>
  </si>
  <si>
    <t>3. Загрузка в TMS файлов по ЖД</t>
  </si>
  <si>
    <t>ИТОГО по реестру</t>
  </si>
  <si>
    <t>Как заполнять реестр</t>
  </si>
  <si>
    <t>1. Реестр содержит 38 инициатив (шагов и групп шагов процессов) по 6 доменам.</t>
  </si>
  <si>
    <t>2. Столбцы B–H — исходные данные заказчика: домен, процесс, драйвер объёма, шаги в скоупе, текущая трудоёмкость AS IS в FTE и предполагаемый вид доработки.</t>
  </si>
  <si>
    <t>3. Столбцы I–R заполняет подрядчик: предлагаемое решение, целевая степень автоматизации, трудоёмкость, стоимость, длительность, требования к данным и доступам, допущения, риски, вопросы и предлагаемая волна.</t>
  </si>
  <si>
    <t>4. Ожидается оценка класса Class 4 (порядок величины) с указанием удельной цены по архетипам решений.</t>
  </si>
  <si>
    <t>5. Если шаг нельзя оценить без уточнений — заполните «Вопросы к заказчику» и оставьте стоимость пустой, не ставьте 0.</t>
  </si>
  <si>
    <t>6. AS IS, FTE — оценка заказчика без хронометражных замеров; используйте её как ориентир масштаба, а не как подтверждённый эффект.</t>
  </si>
  <si>
    <t>Легенда «Вид доработки»</t>
  </si>
  <si>
    <t>ИИ — применение ИИ: распознавание и проверка документов, извлечение и сверка данных, агентные сценарии.</t>
  </si>
  <si>
    <t>А — автоматизация SAP: доработка транзакций, реестровая загрузка, автоматическое проведение и деблокирование.</t>
  </si>
  <si>
    <t>П — изменение процесса: перестройка порядка работ, ролей, форматов обмена с контрагентами.</t>
  </si>
  <si>
    <t>«не указан» — вид доработки в исходных материалах не определён, требуется предложение подрядчика.</t>
  </si>
  <si>
    <t>Сокращения</t>
  </si>
  <si>
    <t>ДД — договор доставки; ПБД — первичные бухгалтерские документы; УПД — универсальный передаточный документ; ЭДО — электронный документооборот; ЛК — личный кабинет.</t>
  </si>
  <si>
    <t>ТЭК — транспортно-экспедиционная компания; ДС — дополнительное соглашение; ЗнРДС — заявка на расход денежных средств; НХТК — обозначение из исходных материалов.</t>
  </si>
  <si>
    <t>АСВ — акт сверки взаиморасчётов; ТСД — товарно-сопроводительные документы; ЕО — единица учёта; АПП — акт приёма-передачи; СХ — складское хозяйство.</t>
  </si>
  <si>
    <t>ППС — реестр по паритетам поставки (Инкотермс); ДФР — документ финансового результата; ТН — товарная накладная; ТС — транспортное средство.</t>
  </si>
  <si>
    <t>СВТ — система ведения тарифов; TMS — transport management system; RL — reporting list; ЗП — заявка на перевозку; БЕ SI — бизнес-единица SI; ММ, ЖД — мультимодальные и железнодорожные перевозки.</t>
  </si>
  <si>
    <t>Источник</t>
  </si>
  <si>
    <t>Реестр составлен по материалам заказчика: таблицы процессов AS IS по доменам — документооборот РФ и БЕ SI, складской учёт РФ и SI, тендеры, трекинг.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</si>
</sst>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charset val="1"/>
    </font>
    <font>
      <b/>
      <sz val="14"/>
      <color rgb="FF28251D"/>
      <name val="Calibri"/>
      <charset val="1"/>
    </font>
    <font>
      <i/>
      <sz val="10"/>
      <color rgb="FF7A7974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2"/>
      <name val="Calibri"/>
      <charset val="1"/>
    </font>
    <font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8A5A1E"/>
        <bgColor rgb="FF993300"/>
      </patternFill>
    </fill>
    <fill>
      <patternFill patternType="solid">
        <fgColor rgb="FFEDF3F3"/>
        <bgColor rgb="FFFDF6EC"/>
      </patternFill>
    </fill>
    <fill>
      <patternFill patternType="solid">
        <fgColor rgb="FFFDF6EC"/>
        <bgColor rgb="FFEDF3F3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E"/>
      <rgbColor rgb="FF800080"/>
      <rgbColor rgb="FF01696F"/>
      <rgbColor rgb="FFD4D1CA"/>
      <rgbColor rgb="FF7A7974"/>
      <rgbColor rgb="FF9999FF"/>
      <rgbColor rgb="FF993366"/>
      <rgbColor rgb="FFFDF6EC"/>
      <rgbColor rgb="FFED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5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3" customWidth="1"/>
    <col min="2" max="2" width="5" customWidth="1"/>
    <col min="3" max="3" width="24" customWidth="1"/>
    <col min="4" max="4" width="42" customWidth="1"/>
    <col min="5" max="5" width="26" customWidth="1"/>
    <col min="6" max="6" width="54" customWidth="1"/>
    <col min="7" max="7" width="10" customWidth="1"/>
    <col min="8" max="8" width="14" customWidth="1"/>
    <col min="9" max="9" width="26" customWidth="1"/>
    <col min="10" max="11" width="14" customWidth="1"/>
    <col min="12" max="12" width="16" customWidth="1"/>
    <col min="13" max="13" width="13" customWidth="1"/>
    <col min="14" max="14" width="30" customWidth="1"/>
    <col min="15" max="17" width="26" customWidth="1"/>
    <col min="18" max="18" width="16" customWidth="1"/>
  </cols>
  <sheetData>
    <row r="2" spans="2:18" ht="18.75" x14ac:dyDescent="0.3">
      <c r="B2" s="1" t="s">
        <v>0</v>
      </c>
    </row>
    <row r="3" spans="2:18" x14ac:dyDescent="0.25">
      <c r="B3" s="2" t="s">
        <v>1</v>
      </c>
    </row>
    <row r="5" spans="2:18" ht="48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</row>
    <row r="6" spans="2:18" ht="51" x14ac:dyDescent="0.25">
      <c r="B6" s="5">
        <v>1</v>
      </c>
      <c r="C6" s="6" t="s">
        <v>19</v>
      </c>
      <c r="D6" s="6" t="s">
        <v>20</v>
      </c>
      <c r="E6" s="6" t="s">
        <v>21</v>
      </c>
      <c r="F6" s="6" t="s">
        <v>22</v>
      </c>
      <c r="G6" s="7">
        <v>2</v>
      </c>
      <c r="H6" s="5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</row>
    <row r="7" spans="2:18" ht="51" x14ac:dyDescent="0.25">
      <c r="B7" s="5">
        <v>2</v>
      </c>
      <c r="C7" s="6" t="s">
        <v>19</v>
      </c>
      <c r="D7" s="6" t="s">
        <v>24</v>
      </c>
      <c r="E7" s="6" t="s">
        <v>25</v>
      </c>
      <c r="F7" s="6" t="s">
        <v>26</v>
      </c>
      <c r="G7" s="7">
        <v>6.5</v>
      </c>
      <c r="H7" s="5" t="s">
        <v>27</v>
      </c>
      <c r="I7" s="8"/>
      <c r="J7" s="8"/>
      <c r="K7" s="8"/>
      <c r="L7" s="8"/>
      <c r="M7" s="8"/>
      <c r="N7" s="8"/>
      <c r="O7" s="8"/>
      <c r="P7" s="8"/>
      <c r="Q7" s="8"/>
      <c r="R7" s="8"/>
    </row>
    <row r="8" spans="2:18" ht="38.25" x14ac:dyDescent="0.25">
      <c r="B8" s="5">
        <v>3</v>
      </c>
      <c r="C8" s="6" t="s">
        <v>19</v>
      </c>
      <c r="D8" s="6" t="s">
        <v>28</v>
      </c>
      <c r="E8" s="6" t="s">
        <v>25</v>
      </c>
      <c r="F8" s="6" t="s">
        <v>29</v>
      </c>
      <c r="G8" s="7">
        <v>16</v>
      </c>
      <c r="H8" s="5" t="s">
        <v>30</v>
      </c>
      <c r="I8" s="8"/>
      <c r="J8" s="8"/>
      <c r="K8" s="8"/>
      <c r="L8" s="8"/>
      <c r="M8" s="8"/>
      <c r="N8" s="8"/>
      <c r="O8" s="8"/>
      <c r="P8" s="8"/>
      <c r="Q8" s="8"/>
      <c r="R8" s="8"/>
    </row>
    <row r="9" spans="2:18" ht="38.25" x14ac:dyDescent="0.25">
      <c r="B9" s="5">
        <v>4</v>
      </c>
      <c r="C9" s="6" t="s">
        <v>19</v>
      </c>
      <c r="D9" s="6" t="s">
        <v>31</v>
      </c>
      <c r="E9" s="6" t="s">
        <v>25</v>
      </c>
      <c r="F9" s="6" t="s">
        <v>32</v>
      </c>
      <c r="G9" s="7">
        <v>3.3</v>
      </c>
      <c r="H9" s="5" t="s">
        <v>33</v>
      </c>
      <c r="I9" s="8"/>
      <c r="J9" s="8"/>
      <c r="K9" s="8"/>
      <c r="L9" s="8"/>
      <c r="M9" s="8"/>
      <c r="N9" s="8"/>
      <c r="O9" s="8"/>
      <c r="P9" s="8"/>
      <c r="Q9" s="8"/>
      <c r="R9" s="8"/>
    </row>
    <row r="10" spans="2:18" ht="25.5" x14ac:dyDescent="0.25">
      <c r="B10" s="5">
        <v>5</v>
      </c>
      <c r="C10" s="6" t="s">
        <v>19</v>
      </c>
      <c r="D10" s="6" t="s">
        <v>34</v>
      </c>
      <c r="E10" s="6" t="s">
        <v>35</v>
      </c>
      <c r="F10" s="6" t="s">
        <v>36</v>
      </c>
      <c r="G10" s="7">
        <v>1</v>
      </c>
      <c r="H10" s="5" t="s">
        <v>37</v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2:18" ht="25.5" x14ac:dyDescent="0.25">
      <c r="B11" s="5">
        <v>6</v>
      </c>
      <c r="C11" s="6" t="s">
        <v>19</v>
      </c>
      <c r="D11" s="6" t="s">
        <v>38</v>
      </c>
      <c r="E11" s="6" t="s">
        <v>35</v>
      </c>
      <c r="F11" s="6" t="s">
        <v>39</v>
      </c>
      <c r="G11" s="7">
        <v>0.2</v>
      </c>
      <c r="H11" s="5" t="s">
        <v>40</v>
      </c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2:18" ht="38.25" x14ac:dyDescent="0.25">
      <c r="B12" s="5">
        <v>7</v>
      </c>
      <c r="C12" s="6" t="s">
        <v>19</v>
      </c>
      <c r="D12" s="6" t="s">
        <v>41</v>
      </c>
      <c r="E12" s="6" t="s">
        <v>42</v>
      </c>
      <c r="F12" s="6" t="s">
        <v>43</v>
      </c>
      <c r="G12" s="7">
        <v>3.5</v>
      </c>
      <c r="H12" s="5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2:18" ht="25.5" x14ac:dyDescent="0.25">
      <c r="B13" s="5">
        <v>8</v>
      </c>
      <c r="C13" s="6" t="s">
        <v>19</v>
      </c>
      <c r="D13" s="6" t="s">
        <v>44</v>
      </c>
      <c r="E13" s="6" t="s">
        <v>25</v>
      </c>
      <c r="F13" s="6" t="s">
        <v>44</v>
      </c>
      <c r="G13" s="7">
        <v>2</v>
      </c>
      <c r="H13" s="5" t="s">
        <v>40</v>
      </c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2:18" ht="25.5" x14ac:dyDescent="0.25">
      <c r="B14" s="5">
        <v>9</v>
      </c>
      <c r="C14" s="6" t="s">
        <v>19</v>
      </c>
      <c r="D14" s="6" t="s">
        <v>45</v>
      </c>
      <c r="E14" s="6" t="s">
        <v>46</v>
      </c>
      <c r="F14" s="6" t="s">
        <v>47</v>
      </c>
      <c r="G14" s="7">
        <v>3</v>
      </c>
      <c r="H14" s="5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2:18" ht="51" x14ac:dyDescent="0.25">
      <c r="B15" s="5">
        <v>10</v>
      </c>
      <c r="C15" s="6" t="s">
        <v>48</v>
      </c>
      <c r="D15" s="6" t="s">
        <v>49</v>
      </c>
      <c r="E15" s="6" t="s">
        <v>50</v>
      </c>
      <c r="F15" s="6" t="s">
        <v>51</v>
      </c>
      <c r="G15" s="7">
        <v>4.2</v>
      </c>
      <c r="H15" s="5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2:18" ht="25.5" x14ac:dyDescent="0.25">
      <c r="B16" s="5">
        <v>11</v>
      </c>
      <c r="C16" s="6" t="s">
        <v>48</v>
      </c>
      <c r="D16" s="6" t="s">
        <v>52</v>
      </c>
      <c r="E16" s="6" t="s">
        <v>50</v>
      </c>
      <c r="F16" s="6" t="s">
        <v>53</v>
      </c>
      <c r="G16" s="7">
        <v>4.0999999999999996</v>
      </c>
      <c r="H16" s="5" t="s">
        <v>33</v>
      </c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ht="25.5" x14ac:dyDescent="0.25">
      <c r="B17" s="5">
        <v>12</v>
      </c>
      <c r="C17" s="6" t="s">
        <v>48</v>
      </c>
      <c r="D17" s="6" t="s">
        <v>54</v>
      </c>
      <c r="E17" s="6" t="s">
        <v>50</v>
      </c>
      <c r="F17" s="6" t="s">
        <v>55</v>
      </c>
      <c r="G17" s="7">
        <v>1.5</v>
      </c>
      <c r="H17" s="5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ht="25.5" x14ac:dyDescent="0.25">
      <c r="B18" s="5">
        <v>13</v>
      </c>
      <c r="C18" s="6" t="s">
        <v>56</v>
      </c>
      <c r="D18" s="6" t="s">
        <v>57</v>
      </c>
      <c r="E18" s="6" t="s">
        <v>58</v>
      </c>
      <c r="F18" s="6" t="s">
        <v>59</v>
      </c>
      <c r="G18" s="7">
        <v>2.5</v>
      </c>
      <c r="H18" s="5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ht="25.5" x14ac:dyDescent="0.25">
      <c r="B19" s="5">
        <v>14</v>
      </c>
      <c r="C19" s="6" t="s">
        <v>56</v>
      </c>
      <c r="D19" s="6" t="s">
        <v>60</v>
      </c>
      <c r="E19" s="6" t="s">
        <v>58</v>
      </c>
      <c r="F19" s="6" t="s">
        <v>61</v>
      </c>
      <c r="G19" s="7">
        <v>2.5</v>
      </c>
      <c r="H19" s="5" t="s">
        <v>23</v>
      </c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2:18" ht="25.5" x14ac:dyDescent="0.25">
      <c r="B20" s="5">
        <v>15</v>
      </c>
      <c r="C20" s="6" t="s">
        <v>56</v>
      </c>
      <c r="D20" s="6" t="s">
        <v>62</v>
      </c>
      <c r="E20" s="6" t="s">
        <v>58</v>
      </c>
      <c r="F20" s="6" t="s">
        <v>63</v>
      </c>
      <c r="G20" s="7">
        <v>3.8</v>
      </c>
      <c r="H20" s="5" t="s">
        <v>23</v>
      </c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ht="25.5" x14ac:dyDescent="0.25">
      <c r="B21" s="5">
        <v>16</v>
      </c>
      <c r="C21" s="6" t="s">
        <v>56</v>
      </c>
      <c r="D21" s="6" t="s">
        <v>64</v>
      </c>
      <c r="E21" s="6" t="s">
        <v>58</v>
      </c>
      <c r="F21" s="6" t="s">
        <v>65</v>
      </c>
      <c r="G21" s="7">
        <v>3.5</v>
      </c>
      <c r="H21" s="5" t="s">
        <v>23</v>
      </c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ht="25.5" x14ac:dyDescent="0.25">
      <c r="B22" s="5">
        <v>17</v>
      </c>
      <c r="C22" s="6" t="s">
        <v>56</v>
      </c>
      <c r="D22" s="6" t="s">
        <v>66</v>
      </c>
      <c r="E22" s="6" t="s">
        <v>58</v>
      </c>
      <c r="F22" s="6" t="s">
        <v>67</v>
      </c>
      <c r="G22" s="7">
        <v>3.8</v>
      </c>
      <c r="H22" s="5" t="s">
        <v>23</v>
      </c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x14ac:dyDescent="0.25">
      <c r="B23" s="5">
        <v>18</v>
      </c>
      <c r="C23" s="6" t="s">
        <v>56</v>
      </c>
      <c r="D23" s="6" t="s">
        <v>68</v>
      </c>
      <c r="E23" s="6" t="s">
        <v>69</v>
      </c>
      <c r="F23" s="6" t="s">
        <v>70</v>
      </c>
      <c r="G23" s="7">
        <v>2.5</v>
      </c>
      <c r="H23" s="5" t="s">
        <v>23</v>
      </c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2:18" ht="25.5" x14ac:dyDescent="0.25">
      <c r="B24" s="5">
        <v>19</v>
      </c>
      <c r="C24" s="6" t="s">
        <v>71</v>
      </c>
      <c r="D24" s="6" t="s">
        <v>72</v>
      </c>
      <c r="E24" s="6" t="s">
        <v>73</v>
      </c>
      <c r="F24" s="6" t="s">
        <v>74</v>
      </c>
      <c r="G24" s="7">
        <v>1.5</v>
      </c>
      <c r="H24" s="5" t="s">
        <v>23</v>
      </c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2:18" ht="25.5" x14ac:dyDescent="0.25">
      <c r="B25" s="5">
        <v>20</v>
      </c>
      <c r="C25" s="6" t="s">
        <v>71</v>
      </c>
      <c r="D25" s="6" t="s">
        <v>75</v>
      </c>
      <c r="E25" s="6" t="s">
        <v>73</v>
      </c>
      <c r="F25" s="6" t="s">
        <v>76</v>
      </c>
      <c r="G25" s="7">
        <v>1.2</v>
      </c>
      <c r="H25" s="5" t="s">
        <v>23</v>
      </c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2:18" ht="25.5" x14ac:dyDescent="0.25">
      <c r="B26" s="5">
        <v>21</v>
      </c>
      <c r="C26" s="6" t="s">
        <v>71</v>
      </c>
      <c r="D26" s="6" t="s">
        <v>77</v>
      </c>
      <c r="E26" s="6" t="s">
        <v>73</v>
      </c>
      <c r="F26" s="6" t="s">
        <v>78</v>
      </c>
      <c r="G26" s="7">
        <v>1.5</v>
      </c>
      <c r="H26" s="5" t="s">
        <v>23</v>
      </c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2:18" ht="25.5" x14ac:dyDescent="0.25">
      <c r="B27" s="5">
        <v>22</v>
      </c>
      <c r="C27" s="6" t="s">
        <v>71</v>
      </c>
      <c r="D27" s="6" t="s">
        <v>79</v>
      </c>
      <c r="E27" s="6" t="s">
        <v>69</v>
      </c>
      <c r="F27" s="6" t="s">
        <v>80</v>
      </c>
      <c r="G27" s="7">
        <v>3</v>
      </c>
      <c r="H27" s="5" t="s">
        <v>23</v>
      </c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2:18" ht="25.5" x14ac:dyDescent="0.25">
      <c r="B28" s="5">
        <v>23</v>
      </c>
      <c r="C28" s="6" t="s">
        <v>71</v>
      </c>
      <c r="D28" s="6" t="s">
        <v>81</v>
      </c>
      <c r="E28" s="6" t="s">
        <v>69</v>
      </c>
      <c r="F28" s="6" t="s">
        <v>82</v>
      </c>
      <c r="G28" s="7">
        <v>1</v>
      </c>
      <c r="H28" s="5" t="s">
        <v>23</v>
      </c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2:18" x14ac:dyDescent="0.25">
      <c r="B29" s="5">
        <v>24</v>
      </c>
      <c r="C29" s="6" t="s">
        <v>71</v>
      </c>
      <c r="D29" s="6" t="s">
        <v>83</v>
      </c>
      <c r="E29" s="6" t="s">
        <v>84</v>
      </c>
      <c r="F29" s="6" t="s">
        <v>85</v>
      </c>
      <c r="G29" s="7">
        <v>0.4</v>
      </c>
      <c r="H29" s="5" t="s">
        <v>23</v>
      </c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2:18" ht="38.25" x14ac:dyDescent="0.25">
      <c r="B30" s="5">
        <v>25</v>
      </c>
      <c r="C30" s="6" t="s">
        <v>71</v>
      </c>
      <c r="D30" s="6" t="s">
        <v>86</v>
      </c>
      <c r="E30" s="6" t="s">
        <v>87</v>
      </c>
      <c r="F30" s="6" t="s">
        <v>88</v>
      </c>
      <c r="G30" s="7">
        <v>1.5</v>
      </c>
      <c r="H30" s="5" t="s">
        <v>23</v>
      </c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2:18" ht="25.5" x14ac:dyDescent="0.25">
      <c r="B31" s="5">
        <v>26</v>
      </c>
      <c r="C31" s="6" t="s">
        <v>71</v>
      </c>
      <c r="D31" s="6" t="s">
        <v>89</v>
      </c>
      <c r="E31" s="6" t="s">
        <v>90</v>
      </c>
      <c r="F31" s="6" t="s">
        <v>91</v>
      </c>
      <c r="G31" s="7">
        <v>3</v>
      </c>
      <c r="H31" s="5" t="s">
        <v>92</v>
      </c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2:18" x14ac:dyDescent="0.25">
      <c r="B32" s="5">
        <v>27</v>
      </c>
      <c r="C32" s="6" t="s">
        <v>93</v>
      </c>
      <c r="D32" s="6" t="s">
        <v>94</v>
      </c>
      <c r="E32" s="6" t="s">
        <v>95</v>
      </c>
      <c r="F32" s="6" t="s">
        <v>96</v>
      </c>
      <c r="G32" s="7">
        <v>1</v>
      </c>
      <c r="H32" s="5" t="s">
        <v>23</v>
      </c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2:18" x14ac:dyDescent="0.25">
      <c r="B33" s="5">
        <v>28</v>
      </c>
      <c r="C33" s="6" t="s">
        <v>93</v>
      </c>
      <c r="D33" s="6" t="s">
        <v>97</v>
      </c>
      <c r="E33" s="6" t="s">
        <v>98</v>
      </c>
      <c r="F33" s="6" t="s">
        <v>99</v>
      </c>
      <c r="G33" s="7">
        <v>1.1000000000000001</v>
      </c>
      <c r="H33" s="5" t="s">
        <v>23</v>
      </c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2:18" ht="25.5" x14ac:dyDescent="0.25">
      <c r="B34" s="5">
        <v>29</v>
      </c>
      <c r="C34" s="6" t="s">
        <v>93</v>
      </c>
      <c r="D34" s="6" t="s">
        <v>100</v>
      </c>
      <c r="E34" s="6" t="s">
        <v>87</v>
      </c>
      <c r="F34" s="6" t="s">
        <v>101</v>
      </c>
      <c r="G34" s="7">
        <v>0.2</v>
      </c>
      <c r="H34" s="5" t="s">
        <v>23</v>
      </c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2:18" ht="25.5" x14ac:dyDescent="0.25">
      <c r="B35" s="5">
        <v>30</v>
      </c>
      <c r="C35" s="6" t="s">
        <v>93</v>
      </c>
      <c r="D35" s="6" t="s">
        <v>102</v>
      </c>
      <c r="E35" s="6" t="s">
        <v>103</v>
      </c>
      <c r="F35" s="6" t="s">
        <v>104</v>
      </c>
      <c r="G35" s="7">
        <v>0.3</v>
      </c>
      <c r="H35" s="5" t="s">
        <v>23</v>
      </c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2:18" x14ac:dyDescent="0.25">
      <c r="B36" s="5">
        <v>31</v>
      </c>
      <c r="C36" s="6" t="s">
        <v>93</v>
      </c>
      <c r="D36" s="6" t="s">
        <v>105</v>
      </c>
      <c r="E36" s="6" t="s">
        <v>87</v>
      </c>
      <c r="F36" s="6" t="s">
        <v>105</v>
      </c>
      <c r="G36" s="7">
        <v>0.1</v>
      </c>
      <c r="H36" s="5" t="s">
        <v>23</v>
      </c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2:18" x14ac:dyDescent="0.25">
      <c r="B37" s="5">
        <v>32</v>
      </c>
      <c r="C37" s="6" t="s">
        <v>93</v>
      </c>
      <c r="D37" s="6" t="s">
        <v>106</v>
      </c>
      <c r="E37" s="6" t="s">
        <v>84</v>
      </c>
      <c r="F37" s="6" t="s">
        <v>106</v>
      </c>
      <c r="G37" s="7">
        <v>1.3</v>
      </c>
      <c r="H37" s="5" t="s">
        <v>23</v>
      </c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2:18" x14ac:dyDescent="0.25">
      <c r="B38" s="5">
        <v>33</v>
      </c>
      <c r="C38" s="6" t="s">
        <v>107</v>
      </c>
      <c r="D38" s="6" t="s">
        <v>108</v>
      </c>
      <c r="E38" s="6" t="s">
        <v>87</v>
      </c>
      <c r="F38" s="6" t="s">
        <v>109</v>
      </c>
      <c r="G38" s="7">
        <v>0.7</v>
      </c>
      <c r="H38" s="5" t="s">
        <v>92</v>
      </c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2:18" ht="25.5" x14ac:dyDescent="0.25">
      <c r="B39" s="5">
        <v>34</v>
      </c>
      <c r="C39" s="6" t="s">
        <v>107</v>
      </c>
      <c r="D39" s="6" t="s">
        <v>110</v>
      </c>
      <c r="E39" s="6" t="s">
        <v>87</v>
      </c>
      <c r="F39" s="6" t="s">
        <v>111</v>
      </c>
      <c r="G39" s="7">
        <v>0.1</v>
      </c>
      <c r="H39" s="5" t="s">
        <v>23</v>
      </c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2:18" x14ac:dyDescent="0.25">
      <c r="B40" s="5">
        <v>35</v>
      </c>
      <c r="C40" s="6" t="s">
        <v>107</v>
      </c>
      <c r="D40" s="6" t="s">
        <v>112</v>
      </c>
      <c r="E40" s="6" t="s">
        <v>87</v>
      </c>
      <c r="F40" s="6" t="s">
        <v>113</v>
      </c>
      <c r="G40" s="7">
        <v>1.3</v>
      </c>
      <c r="H40" s="5" t="s">
        <v>23</v>
      </c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2:18" ht="25.5" x14ac:dyDescent="0.25">
      <c r="B41" s="5">
        <v>36</v>
      </c>
      <c r="C41" s="6" t="s">
        <v>107</v>
      </c>
      <c r="D41" s="6" t="s">
        <v>114</v>
      </c>
      <c r="E41" s="6" t="s">
        <v>87</v>
      </c>
      <c r="F41" s="6" t="s">
        <v>115</v>
      </c>
      <c r="G41" s="7">
        <v>0.1</v>
      </c>
      <c r="H41" s="5" t="s">
        <v>37</v>
      </c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2:18" ht="25.5" x14ac:dyDescent="0.25">
      <c r="B42" s="5">
        <v>37</v>
      </c>
      <c r="C42" s="6" t="s">
        <v>107</v>
      </c>
      <c r="D42" s="6" t="s">
        <v>116</v>
      </c>
      <c r="E42" s="6" t="s">
        <v>87</v>
      </c>
      <c r="F42" s="6" t="s">
        <v>117</v>
      </c>
      <c r="G42" s="7">
        <v>0.4</v>
      </c>
      <c r="H42" s="5" t="s">
        <v>40</v>
      </c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2:18" x14ac:dyDescent="0.25">
      <c r="B43" s="5">
        <v>38</v>
      </c>
      <c r="C43" s="6" t="s">
        <v>107</v>
      </c>
      <c r="D43" s="6" t="s">
        <v>118</v>
      </c>
      <c r="E43" s="6" t="s">
        <v>87</v>
      </c>
      <c r="F43" s="6" t="s">
        <v>119</v>
      </c>
      <c r="G43" s="7">
        <v>0.1</v>
      </c>
      <c r="H43" s="5" t="s">
        <v>23</v>
      </c>
      <c r="I43" s="8"/>
      <c r="J43" s="8"/>
      <c r="K43" s="8"/>
      <c r="L43" s="8"/>
      <c r="M43" s="8"/>
      <c r="N43" s="8"/>
      <c r="O43" s="8"/>
      <c r="P43" s="8"/>
      <c r="Q43" s="8"/>
      <c r="R43" s="8"/>
    </row>
    <row r="45" spans="2:18" x14ac:dyDescent="0.25">
      <c r="C45" s="9" t="s">
        <v>120</v>
      </c>
      <c r="G45" s="10">
        <f>SUM(G6:G43)</f>
        <v>85.699999999999989</v>
      </c>
      <c r="J45" s="11">
        <f>SUM(J6:J43)</f>
        <v>0</v>
      </c>
      <c r="K45" s="11">
        <f>SUM(K6:K43)</f>
        <v>0</v>
      </c>
    </row>
  </sheetData>
  <autoFilter ref="B5:R43" xr:uid="{00000000-0009-0000-0000-000000000000}"/>
  <dataValidations count="1">
    <dataValidation type="list" allowBlank="1" sqref="R6:R43" xr:uid="{00000000-0002-0000-0000-000000000000}">
      <formula1>"Волна 1,Волна 2,Волна 3,Не оценивается"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5"/>
  <sheetViews>
    <sheetView zoomScaleNormal="100" workbookViewId="0"/>
  </sheetViews>
  <sheetFormatPr defaultColWidth="8.7109375" defaultRowHeight="15" x14ac:dyDescent="0.25"/>
  <cols>
    <col min="1" max="1" width="3" customWidth="1"/>
    <col min="2" max="2" width="130" customWidth="1"/>
  </cols>
  <sheetData>
    <row r="2" spans="2:2" ht="15.75" x14ac:dyDescent="0.25">
      <c r="B2" s="12" t="s">
        <v>121</v>
      </c>
    </row>
    <row r="3" spans="2:2" x14ac:dyDescent="0.25">
      <c r="B3" s="13"/>
    </row>
    <row r="4" spans="2:2" x14ac:dyDescent="0.25">
      <c r="B4" s="13" t="s">
        <v>122</v>
      </c>
    </row>
    <row r="5" spans="2:2" ht="30" x14ac:dyDescent="0.25">
      <c r="B5" s="13" t="s">
        <v>123</v>
      </c>
    </row>
    <row r="6" spans="2:2" ht="30" x14ac:dyDescent="0.25">
      <c r="B6" s="13" t="s">
        <v>124</v>
      </c>
    </row>
    <row r="7" spans="2:2" x14ac:dyDescent="0.25">
      <c r="B7" s="13" t="s">
        <v>125</v>
      </c>
    </row>
    <row r="8" spans="2:2" x14ac:dyDescent="0.25">
      <c r="B8" s="13" t="s">
        <v>126</v>
      </c>
    </row>
    <row r="9" spans="2:2" ht="30" x14ac:dyDescent="0.25">
      <c r="B9" s="13" t="s">
        <v>127</v>
      </c>
    </row>
    <row r="10" spans="2:2" x14ac:dyDescent="0.25">
      <c r="B10" s="13"/>
    </row>
    <row r="11" spans="2:2" ht="15.75" x14ac:dyDescent="0.25">
      <c r="B11" s="12" t="s">
        <v>128</v>
      </c>
    </row>
    <row r="12" spans="2:2" x14ac:dyDescent="0.25">
      <c r="B12" s="13" t="s">
        <v>129</v>
      </c>
    </row>
    <row r="13" spans="2:2" x14ac:dyDescent="0.25">
      <c r="B13" s="13" t="s">
        <v>130</v>
      </c>
    </row>
    <row r="14" spans="2:2" x14ac:dyDescent="0.25">
      <c r="B14" s="13" t="s">
        <v>131</v>
      </c>
    </row>
    <row r="15" spans="2:2" x14ac:dyDescent="0.25">
      <c r="B15" s="13" t="s">
        <v>132</v>
      </c>
    </row>
    <row r="16" spans="2:2" x14ac:dyDescent="0.25">
      <c r="B16" s="13"/>
    </row>
    <row r="17" spans="2:2" ht="15.75" x14ac:dyDescent="0.25">
      <c r="B17" s="12" t="s">
        <v>133</v>
      </c>
    </row>
    <row r="18" spans="2:2" ht="30" x14ac:dyDescent="0.25">
      <c r="B18" s="13" t="s">
        <v>134</v>
      </c>
    </row>
    <row r="19" spans="2:2" ht="30" x14ac:dyDescent="0.25">
      <c r="B19" s="13" t="s">
        <v>135</v>
      </c>
    </row>
    <row r="20" spans="2:2" ht="30" x14ac:dyDescent="0.25">
      <c r="B20" s="13" t="s">
        <v>136</v>
      </c>
    </row>
    <row r="21" spans="2:2" ht="30" x14ac:dyDescent="0.25">
      <c r="B21" s="13" t="s">
        <v>137</v>
      </c>
    </row>
    <row r="22" spans="2:2" ht="30" x14ac:dyDescent="0.25">
      <c r="B22" s="13" t="s">
        <v>138</v>
      </c>
    </row>
    <row r="23" spans="2:2" x14ac:dyDescent="0.25">
      <c r="B23" s="13"/>
    </row>
    <row r="24" spans="2:2" ht="15.75" x14ac:dyDescent="0.25">
      <c r="B24" s="12" t="s">
        <v>139</v>
      </c>
    </row>
    <row r="25" spans="2:2" ht="30" x14ac:dyDescent="0.25">
      <c r="B25" s="13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инициатив</vt:lpstr>
      <vt:lpstr>Инструкция и 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Набока Михаил Викторович</cp:lastModifiedBy>
  <cp:revision>0</cp:revision>
  <dcterms:created xsi:type="dcterms:W3CDTF">2026-09-17T13:32:48Z</dcterms:created>
  <dcterms:modified xsi:type="dcterms:W3CDTF">2026-09-17T13:37:54Z</dcterms:modified>
  <dc:language>en-US</dc:language>
</cp:coreProperties>
</file>